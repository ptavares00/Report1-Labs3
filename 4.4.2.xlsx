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porto-my.sharepoint.com/personal/up201806358_up_pt/Documents/Desktop/"/>
    </mc:Choice>
  </mc:AlternateContent>
  <xr:revisionPtr revIDLastSave="66" documentId="11_F25DC773A252ABDACC104835C91E41EE5ADE58E7" xr6:coauthVersionLast="47" xr6:coauthVersionMax="47" xr10:uidLastSave="{79F92B22-EC50-4339-ABC7-C570AF502F9B}"/>
  <bookViews>
    <workbookView xWindow="-108" yWindow="-108" windowWidth="23256" windowHeight="12576" activeTab="1" xr2:uid="{00000000-000D-0000-FFFF-FFFF00000000}"/>
  </bookViews>
  <sheets>
    <sheet name="20" sheetId="1" r:id="rId1"/>
    <sheet name="Sheet1" sheetId="3" r:id="rId2"/>
    <sheet name="12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I2" i="3" a="1"/>
  <c r="J2" i="3" s="1"/>
  <c r="D2" i="3"/>
  <c r="C2" i="3"/>
  <c r="C4" i="2"/>
  <c r="C5" i="2"/>
  <c r="C6" i="2"/>
  <c r="C7" i="2"/>
  <c r="C8" i="2"/>
  <c r="C9" i="2"/>
  <c r="C3" i="2"/>
  <c r="C2" i="2"/>
  <c r="J3" i="3" l="1"/>
  <c r="I3" i="3"/>
  <c r="I4" i="3"/>
  <c r="J4" i="3"/>
  <c r="I2" i="3"/>
  <c r="E31" i="3" l="1"/>
  <c r="E23" i="3"/>
  <c r="E28" i="3"/>
  <c r="E20" i="3"/>
  <c r="E3" i="3"/>
  <c r="E25" i="3"/>
  <c r="E17" i="3"/>
  <c r="E15" i="3"/>
  <c r="F15" i="3" s="1"/>
  <c r="E13" i="3"/>
  <c r="F13" i="3" s="1"/>
  <c r="E11" i="3"/>
  <c r="F11" i="3" s="1"/>
  <c r="E9" i="3"/>
  <c r="F9" i="3" s="1"/>
  <c r="E7" i="3"/>
  <c r="F7" i="3" s="1"/>
  <c r="E5" i="3"/>
  <c r="F5" i="3" s="1"/>
  <c r="E30" i="3"/>
  <c r="E22" i="3"/>
  <c r="E2" i="3"/>
  <c r="E27" i="3"/>
  <c r="E19" i="3"/>
  <c r="E24" i="3"/>
  <c r="E26" i="3"/>
  <c r="E18" i="3"/>
  <c r="E29" i="3"/>
  <c r="E21" i="3"/>
  <c r="E16" i="3"/>
  <c r="F16" i="3" s="1"/>
  <c r="E14" i="3"/>
  <c r="F14" i="3" s="1"/>
  <c r="E12" i="3"/>
  <c r="F12" i="3" s="1"/>
  <c r="E10" i="3"/>
  <c r="F10" i="3" s="1"/>
  <c r="E8" i="3"/>
  <c r="F8" i="3" s="1"/>
  <c r="E6" i="3"/>
  <c r="F6" i="3" s="1"/>
  <c r="E4" i="3"/>
  <c r="F4" i="3" s="1"/>
</calcChain>
</file>

<file path=xl/sharedStrings.xml><?xml version="1.0" encoding="utf-8"?>
<sst xmlns="http://schemas.openxmlformats.org/spreadsheetml/2006/main" count="11" uniqueCount="6">
  <si>
    <t>t</t>
  </si>
  <si>
    <t>N</t>
  </si>
  <si>
    <t>dt</t>
  </si>
  <si>
    <t>ln(N)</t>
  </si>
  <si>
    <t>ajuste</t>
  </si>
  <si>
    <t>Resíduos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</si>
</sst>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17" workbookViewId="0">
      <selection activeCell="C31" sqref="C1:L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20.16</v>
      </c>
      <c r="B2">
        <v>202</v>
      </c>
    </row>
    <row r="3" spans="1:2" x14ac:dyDescent="0.3">
      <c r="A3">
        <v>40.43</v>
      </c>
      <c r="B3">
        <v>199</v>
      </c>
    </row>
    <row r="4" spans="1:2" x14ac:dyDescent="0.3">
      <c r="A4">
        <v>60.64</v>
      </c>
      <c r="B4">
        <v>226</v>
      </c>
    </row>
    <row r="5" spans="1:2" x14ac:dyDescent="0.3">
      <c r="A5">
        <v>80.849999999999994</v>
      </c>
      <c r="B5">
        <v>199</v>
      </c>
    </row>
    <row r="6" spans="1:2" x14ac:dyDescent="0.3">
      <c r="A6">
        <v>101.06</v>
      </c>
      <c r="B6">
        <v>188</v>
      </c>
    </row>
    <row r="7" spans="1:2" x14ac:dyDescent="0.3">
      <c r="A7">
        <v>121.28</v>
      </c>
      <c r="B7">
        <v>155</v>
      </c>
    </row>
    <row r="8" spans="1:2" x14ac:dyDescent="0.3">
      <c r="A8">
        <v>141.49</v>
      </c>
      <c r="B8">
        <v>140</v>
      </c>
    </row>
    <row r="9" spans="1:2" x14ac:dyDescent="0.3">
      <c r="A9">
        <v>161.69999999999999</v>
      </c>
      <c r="B9">
        <v>116</v>
      </c>
    </row>
    <row r="10" spans="1:2" x14ac:dyDescent="0.3">
      <c r="A10">
        <v>181.91</v>
      </c>
      <c r="B10">
        <v>112</v>
      </c>
    </row>
    <row r="11" spans="1:2" x14ac:dyDescent="0.3">
      <c r="A11">
        <v>202.13</v>
      </c>
      <c r="B11">
        <v>92</v>
      </c>
    </row>
    <row r="12" spans="1:2" x14ac:dyDescent="0.3">
      <c r="A12">
        <v>222.34</v>
      </c>
      <c r="B12">
        <v>85</v>
      </c>
    </row>
    <row r="13" spans="1:2" x14ac:dyDescent="0.3">
      <c r="A13">
        <v>242.55</v>
      </c>
      <c r="B13">
        <v>74</v>
      </c>
    </row>
    <row r="14" spans="1:2" x14ac:dyDescent="0.3">
      <c r="A14">
        <v>262.76</v>
      </c>
      <c r="B14">
        <v>68</v>
      </c>
    </row>
    <row r="15" spans="1:2" x14ac:dyDescent="0.3">
      <c r="A15">
        <v>282.81</v>
      </c>
      <c r="B15">
        <v>52</v>
      </c>
    </row>
    <row r="16" spans="1:2" x14ac:dyDescent="0.3">
      <c r="A16">
        <v>303.08</v>
      </c>
      <c r="B16">
        <v>47</v>
      </c>
    </row>
    <row r="17" spans="1:2" x14ac:dyDescent="0.3">
      <c r="A17">
        <v>323.29000000000002</v>
      </c>
      <c r="B17">
        <v>35</v>
      </c>
    </row>
    <row r="18" spans="1:2" x14ac:dyDescent="0.3">
      <c r="A18">
        <v>343.5</v>
      </c>
      <c r="B18">
        <v>45</v>
      </c>
    </row>
    <row r="19" spans="1:2" x14ac:dyDescent="0.3">
      <c r="A19">
        <v>363.72</v>
      </c>
      <c r="B19">
        <v>34</v>
      </c>
    </row>
    <row r="20" spans="1:2" x14ac:dyDescent="0.3">
      <c r="A20">
        <v>383.76</v>
      </c>
      <c r="B20">
        <v>24</v>
      </c>
    </row>
    <row r="21" spans="1:2" x14ac:dyDescent="0.3">
      <c r="A21">
        <v>403.98</v>
      </c>
      <c r="B21">
        <v>34</v>
      </c>
    </row>
    <row r="22" spans="1:2" x14ac:dyDescent="0.3">
      <c r="A22">
        <v>424.19</v>
      </c>
      <c r="B22">
        <v>36</v>
      </c>
    </row>
    <row r="23" spans="1:2" x14ac:dyDescent="0.3">
      <c r="A23">
        <v>444.46</v>
      </c>
      <c r="B23">
        <v>39</v>
      </c>
    </row>
    <row r="24" spans="1:2" x14ac:dyDescent="0.3">
      <c r="A24">
        <v>464.67</v>
      </c>
      <c r="B24">
        <v>26</v>
      </c>
    </row>
    <row r="25" spans="1:2" x14ac:dyDescent="0.3">
      <c r="A25">
        <v>484.88</v>
      </c>
      <c r="B25">
        <v>28</v>
      </c>
    </row>
    <row r="26" spans="1:2" x14ac:dyDescent="0.3">
      <c r="A26">
        <v>505.15</v>
      </c>
      <c r="B26">
        <v>20</v>
      </c>
    </row>
    <row r="27" spans="1:2" x14ac:dyDescent="0.3">
      <c r="A27">
        <v>525.41999999999996</v>
      </c>
      <c r="B27">
        <v>12</v>
      </c>
    </row>
    <row r="28" spans="1:2" x14ac:dyDescent="0.3">
      <c r="A28">
        <v>545.47</v>
      </c>
      <c r="B28">
        <v>23</v>
      </c>
    </row>
    <row r="29" spans="1:2" x14ac:dyDescent="0.3">
      <c r="A29">
        <v>565.67999999999995</v>
      </c>
      <c r="B29">
        <v>21</v>
      </c>
    </row>
    <row r="30" spans="1:2" x14ac:dyDescent="0.3">
      <c r="A30">
        <v>585.95000000000005</v>
      </c>
      <c r="B30">
        <v>28</v>
      </c>
    </row>
    <row r="31" spans="1:2" x14ac:dyDescent="0.3">
      <c r="A31">
        <v>605.99</v>
      </c>
      <c r="B3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B624-6717-4D31-B9D0-52AC3E005427}">
  <dimension ref="A1:J31"/>
  <sheetViews>
    <sheetView tabSelected="1" workbookViewId="0">
      <selection activeCell="K8" sqref="K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10" x14ac:dyDescent="0.3">
      <c r="A2">
        <v>20.16</v>
      </c>
      <c r="B2">
        <v>202</v>
      </c>
      <c r="C2">
        <f>LN(B2)</f>
        <v>5.3082676974012051</v>
      </c>
      <c r="D2">
        <f>A2</f>
        <v>20.16</v>
      </c>
      <c r="E2">
        <f>A2*$I$2+$J$2</f>
        <v>5.7090681793108606</v>
      </c>
      <c r="I2">
        <f t="array" ref="I2:J4">LINEST(C4:C16,A4:A16,1,1)</f>
        <v>-6.4308753258343924E-3</v>
      </c>
      <c r="J2">
        <v>5.8387146258796818</v>
      </c>
    </row>
    <row r="3" spans="1:10" x14ac:dyDescent="0.3">
      <c r="A3">
        <v>40.43</v>
      </c>
      <c r="B3">
        <v>199</v>
      </c>
      <c r="C3">
        <f t="shared" ref="C3:C31" si="0">LN(B3)</f>
        <v>5.2933048247244923</v>
      </c>
      <c r="D3">
        <f t="shared" ref="D3:D31" si="1">A3-A2</f>
        <v>20.27</v>
      </c>
      <c r="E3">
        <f t="shared" ref="E3:E31" si="2">A3*$I$2+$J$2</f>
        <v>5.5787143364561977</v>
      </c>
      <c r="I3">
        <v>1.6390984374299318E-4</v>
      </c>
      <c r="J3">
        <v>3.228641061070342E-2</v>
      </c>
    </row>
    <row r="4" spans="1:10" x14ac:dyDescent="0.3">
      <c r="A4">
        <v>60.64</v>
      </c>
      <c r="B4">
        <v>226</v>
      </c>
      <c r="C4">
        <f t="shared" si="0"/>
        <v>5.4205349992722862</v>
      </c>
      <c r="D4">
        <f t="shared" si="1"/>
        <v>20.21</v>
      </c>
      <c r="E4">
        <f t="shared" si="2"/>
        <v>5.4487463461210845</v>
      </c>
      <c r="F4">
        <f t="shared" ref="F4:F16" si="3">C4-E4</f>
        <v>-2.8211346848798335E-2</v>
      </c>
      <c r="I4">
        <v>0.99290471003780245</v>
      </c>
      <c r="J4">
        <v>4.4677029905910194E-2</v>
      </c>
    </row>
    <row r="5" spans="1:10" x14ac:dyDescent="0.3">
      <c r="A5">
        <v>80.849999999999994</v>
      </c>
      <c r="B5">
        <v>199</v>
      </c>
      <c r="C5">
        <f t="shared" si="0"/>
        <v>5.2933048247244923</v>
      </c>
      <c r="D5">
        <f t="shared" si="1"/>
        <v>20.209999999999994</v>
      </c>
      <c r="E5">
        <f t="shared" si="2"/>
        <v>5.3187783557859714</v>
      </c>
      <c r="F5">
        <f t="shared" si="3"/>
        <v>-2.5473531061479093E-2</v>
      </c>
      <c r="J5">
        <f>2 * J4</f>
        <v>8.9354059811820388E-2</v>
      </c>
    </row>
    <row r="6" spans="1:10" x14ac:dyDescent="0.3">
      <c r="A6">
        <v>101.06</v>
      </c>
      <c r="B6">
        <v>188</v>
      </c>
      <c r="C6">
        <f t="shared" si="0"/>
        <v>5.2364419628299492</v>
      </c>
      <c r="D6">
        <f t="shared" si="1"/>
        <v>20.210000000000008</v>
      </c>
      <c r="E6">
        <f t="shared" si="2"/>
        <v>5.1888103654508582</v>
      </c>
      <c r="F6">
        <f t="shared" si="3"/>
        <v>4.7631597379091062E-2</v>
      </c>
    </row>
    <row r="7" spans="1:10" x14ac:dyDescent="0.3">
      <c r="A7">
        <v>121.28</v>
      </c>
      <c r="B7">
        <v>155</v>
      </c>
      <c r="C7">
        <f t="shared" si="0"/>
        <v>5.0434251169192468</v>
      </c>
      <c r="D7">
        <f t="shared" si="1"/>
        <v>20.22</v>
      </c>
      <c r="E7">
        <f t="shared" si="2"/>
        <v>5.0587780663624864</v>
      </c>
      <c r="F7">
        <f t="shared" si="3"/>
        <v>-1.5352949443239616E-2</v>
      </c>
    </row>
    <row r="8" spans="1:10" x14ac:dyDescent="0.3">
      <c r="A8">
        <v>141.49</v>
      </c>
      <c r="B8">
        <v>140</v>
      </c>
      <c r="C8">
        <f t="shared" si="0"/>
        <v>4.9416424226093039</v>
      </c>
      <c r="D8">
        <f t="shared" si="1"/>
        <v>20.210000000000008</v>
      </c>
      <c r="E8">
        <f t="shared" si="2"/>
        <v>4.9288100760273732</v>
      </c>
      <c r="F8">
        <f t="shared" si="3"/>
        <v>1.2832346581930665E-2</v>
      </c>
    </row>
    <row r="9" spans="1:10" x14ac:dyDescent="0.3">
      <c r="A9">
        <v>161.69999999999999</v>
      </c>
      <c r="B9">
        <v>116</v>
      </c>
      <c r="C9">
        <f t="shared" si="0"/>
        <v>4.7535901911063645</v>
      </c>
      <c r="D9">
        <f t="shared" si="1"/>
        <v>20.20999999999998</v>
      </c>
      <c r="E9">
        <f t="shared" si="2"/>
        <v>4.7988420856922609</v>
      </c>
      <c r="F9">
        <f t="shared" si="3"/>
        <v>-4.5251894585896402E-2</v>
      </c>
    </row>
    <row r="10" spans="1:10" x14ac:dyDescent="0.3">
      <c r="A10">
        <v>181.91</v>
      </c>
      <c r="B10">
        <v>112</v>
      </c>
      <c r="C10">
        <f t="shared" si="0"/>
        <v>4.7184988712950942</v>
      </c>
      <c r="D10">
        <f t="shared" si="1"/>
        <v>20.210000000000008</v>
      </c>
      <c r="E10">
        <f t="shared" si="2"/>
        <v>4.6688740953571477</v>
      </c>
      <c r="F10">
        <f t="shared" si="3"/>
        <v>4.9624775937946453E-2</v>
      </c>
    </row>
    <row r="11" spans="1:10" x14ac:dyDescent="0.3">
      <c r="A11">
        <v>202.13</v>
      </c>
      <c r="B11">
        <v>92</v>
      </c>
      <c r="C11">
        <f t="shared" si="0"/>
        <v>4.5217885770490405</v>
      </c>
      <c r="D11">
        <f t="shared" si="1"/>
        <v>20.22</v>
      </c>
      <c r="E11">
        <f t="shared" si="2"/>
        <v>4.5388417962687759</v>
      </c>
      <c r="F11">
        <f t="shared" si="3"/>
        <v>-1.705321921973546E-2</v>
      </c>
    </row>
    <row r="12" spans="1:10" x14ac:dyDescent="0.3">
      <c r="A12">
        <v>222.34</v>
      </c>
      <c r="B12">
        <v>85</v>
      </c>
      <c r="C12">
        <f t="shared" si="0"/>
        <v>4.4426512564903167</v>
      </c>
      <c r="D12">
        <f t="shared" si="1"/>
        <v>20.210000000000008</v>
      </c>
      <c r="E12">
        <f t="shared" si="2"/>
        <v>4.4088738059336627</v>
      </c>
      <c r="F12">
        <f t="shared" si="3"/>
        <v>3.3777450556653932E-2</v>
      </c>
    </row>
    <row r="13" spans="1:10" x14ac:dyDescent="0.3">
      <c r="A13">
        <v>242.55</v>
      </c>
      <c r="B13">
        <v>74</v>
      </c>
      <c r="C13">
        <f t="shared" si="0"/>
        <v>4.3040650932041702</v>
      </c>
      <c r="D13">
        <f t="shared" si="1"/>
        <v>20.210000000000008</v>
      </c>
      <c r="E13">
        <f t="shared" si="2"/>
        <v>4.2789058155985495</v>
      </c>
      <c r="F13">
        <f t="shared" si="3"/>
        <v>2.5159277605620645E-2</v>
      </c>
    </row>
    <row r="14" spans="1:10" x14ac:dyDescent="0.3">
      <c r="A14">
        <v>262.76</v>
      </c>
      <c r="B14">
        <v>68</v>
      </c>
      <c r="C14">
        <f t="shared" si="0"/>
        <v>4.219507705176107</v>
      </c>
      <c r="D14">
        <f t="shared" si="1"/>
        <v>20.20999999999998</v>
      </c>
      <c r="E14">
        <f t="shared" si="2"/>
        <v>4.1489378252634372</v>
      </c>
      <c r="F14">
        <f t="shared" si="3"/>
        <v>7.056987991266972E-2</v>
      </c>
    </row>
    <row r="15" spans="1:10" x14ac:dyDescent="0.3">
      <c r="A15">
        <v>282.81</v>
      </c>
      <c r="B15">
        <v>52</v>
      </c>
      <c r="C15">
        <f t="shared" si="0"/>
        <v>3.9512437185814275</v>
      </c>
      <c r="D15">
        <f t="shared" si="1"/>
        <v>20.050000000000011</v>
      </c>
      <c r="E15">
        <f t="shared" si="2"/>
        <v>4.0199987749804578</v>
      </c>
      <c r="F15">
        <f t="shared" si="3"/>
        <v>-6.8755056399030234E-2</v>
      </c>
    </row>
    <row r="16" spans="1:10" x14ac:dyDescent="0.3">
      <c r="A16">
        <v>303.08</v>
      </c>
      <c r="B16">
        <v>47</v>
      </c>
      <c r="C16">
        <f t="shared" si="0"/>
        <v>3.8501476017100584</v>
      </c>
      <c r="D16">
        <f t="shared" si="1"/>
        <v>20.269999999999982</v>
      </c>
      <c r="E16">
        <f t="shared" si="2"/>
        <v>3.889644932125794</v>
      </c>
      <c r="F16">
        <f t="shared" si="3"/>
        <v>-3.9497330415735554E-2</v>
      </c>
    </row>
    <row r="17" spans="1:5" x14ac:dyDescent="0.3">
      <c r="A17">
        <v>323.29000000000002</v>
      </c>
      <c r="B17">
        <v>35</v>
      </c>
      <c r="C17">
        <f t="shared" si="0"/>
        <v>3.5553480614894135</v>
      </c>
      <c r="D17">
        <f t="shared" si="1"/>
        <v>20.210000000000036</v>
      </c>
      <c r="E17">
        <f t="shared" si="2"/>
        <v>3.7596769417906808</v>
      </c>
    </row>
    <row r="18" spans="1:5" x14ac:dyDescent="0.3">
      <c r="A18">
        <v>343.5</v>
      </c>
      <c r="B18">
        <v>45</v>
      </c>
      <c r="C18">
        <f t="shared" si="0"/>
        <v>3.8066624897703196</v>
      </c>
      <c r="D18">
        <f t="shared" si="1"/>
        <v>20.20999999999998</v>
      </c>
      <c r="E18">
        <f t="shared" si="2"/>
        <v>3.629708951455568</v>
      </c>
    </row>
    <row r="19" spans="1:5" x14ac:dyDescent="0.3">
      <c r="A19">
        <v>363.72</v>
      </c>
      <c r="B19">
        <v>34</v>
      </c>
      <c r="C19">
        <f t="shared" si="0"/>
        <v>3.5263605246161616</v>
      </c>
      <c r="D19">
        <f t="shared" si="1"/>
        <v>20.220000000000027</v>
      </c>
      <c r="E19">
        <f t="shared" si="2"/>
        <v>3.4996766523671963</v>
      </c>
    </row>
    <row r="20" spans="1:5" x14ac:dyDescent="0.3">
      <c r="A20">
        <v>383.76</v>
      </c>
      <c r="B20">
        <v>24</v>
      </c>
      <c r="C20">
        <f t="shared" si="0"/>
        <v>3.1780538303479458</v>
      </c>
      <c r="D20">
        <f t="shared" si="1"/>
        <v>20.039999999999964</v>
      </c>
      <c r="E20">
        <f t="shared" si="2"/>
        <v>3.3708019108374754</v>
      </c>
    </row>
    <row r="21" spans="1:5" x14ac:dyDescent="0.3">
      <c r="A21">
        <v>403.98</v>
      </c>
      <c r="B21">
        <v>34</v>
      </c>
      <c r="C21">
        <f t="shared" si="0"/>
        <v>3.5263605246161616</v>
      </c>
      <c r="D21">
        <f t="shared" si="1"/>
        <v>20.220000000000027</v>
      </c>
      <c r="E21">
        <f t="shared" si="2"/>
        <v>3.2407696117491041</v>
      </c>
    </row>
    <row r="22" spans="1:5" x14ac:dyDescent="0.3">
      <c r="A22">
        <v>424.19</v>
      </c>
      <c r="B22">
        <v>36</v>
      </c>
      <c r="C22">
        <f t="shared" si="0"/>
        <v>3.5835189384561099</v>
      </c>
      <c r="D22">
        <f t="shared" si="1"/>
        <v>20.20999999999998</v>
      </c>
      <c r="E22">
        <f t="shared" si="2"/>
        <v>3.1108016214139909</v>
      </c>
    </row>
    <row r="23" spans="1:5" x14ac:dyDescent="0.3">
      <c r="A23">
        <v>444.46</v>
      </c>
      <c r="B23">
        <v>39</v>
      </c>
      <c r="C23">
        <f t="shared" si="0"/>
        <v>3.6635616461296463</v>
      </c>
      <c r="D23">
        <f t="shared" si="1"/>
        <v>20.269999999999982</v>
      </c>
      <c r="E23">
        <f t="shared" si="2"/>
        <v>2.980447778559328</v>
      </c>
    </row>
    <row r="24" spans="1:5" x14ac:dyDescent="0.3">
      <c r="A24">
        <v>464.67</v>
      </c>
      <c r="B24">
        <v>26</v>
      </c>
      <c r="C24">
        <f t="shared" si="0"/>
        <v>3.2580965380214821</v>
      </c>
      <c r="D24">
        <f t="shared" si="1"/>
        <v>20.210000000000036</v>
      </c>
      <c r="E24">
        <f t="shared" si="2"/>
        <v>2.8504797882242148</v>
      </c>
    </row>
    <row r="25" spans="1:5" x14ac:dyDescent="0.3">
      <c r="A25">
        <v>484.88</v>
      </c>
      <c r="B25">
        <v>28</v>
      </c>
      <c r="C25">
        <f t="shared" si="0"/>
        <v>3.3322045101752038</v>
      </c>
      <c r="D25">
        <f t="shared" si="1"/>
        <v>20.20999999999998</v>
      </c>
      <c r="E25">
        <f t="shared" si="2"/>
        <v>2.7205117978891016</v>
      </c>
    </row>
    <row r="26" spans="1:5" x14ac:dyDescent="0.3">
      <c r="A26">
        <v>505.15</v>
      </c>
      <c r="B26">
        <v>20</v>
      </c>
      <c r="C26">
        <f t="shared" si="0"/>
        <v>2.9957322735539909</v>
      </c>
      <c r="D26">
        <f t="shared" si="1"/>
        <v>20.269999999999982</v>
      </c>
      <c r="E26">
        <f t="shared" si="2"/>
        <v>2.5901579550344387</v>
      </c>
    </row>
    <row r="27" spans="1:5" x14ac:dyDescent="0.3">
      <c r="A27">
        <v>525.41999999999996</v>
      </c>
      <c r="B27">
        <v>12</v>
      </c>
      <c r="C27">
        <f t="shared" si="0"/>
        <v>2.4849066497880004</v>
      </c>
      <c r="D27">
        <f t="shared" si="1"/>
        <v>20.269999999999982</v>
      </c>
      <c r="E27">
        <f t="shared" si="2"/>
        <v>2.4598041121797758</v>
      </c>
    </row>
    <row r="28" spans="1:5" x14ac:dyDescent="0.3">
      <c r="A28">
        <v>545.47</v>
      </c>
      <c r="B28">
        <v>23</v>
      </c>
      <c r="C28">
        <f t="shared" si="0"/>
        <v>3.1354942159291497</v>
      </c>
      <c r="D28">
        <f t="shared" si="1"/>
        <v>20.050000000000068</v>
      </c>
      <c r="E28">
        <f t="shared" si="2"/>
        <v>2.3308650618967954</v>
      </c>
    </row>
    <row r="29" spans="1:5" x14ac:dyDescent="0.3">
      <c r="A29">
        <v>565.67999999999995</v>
      </c>
      <c r="B29">
        <v>21</v>
      </c>
      <c r="C29">
        <f t="shared" si="0"/>
        <v>3.044522437723423</v>
      </c>
      <c r="D29">
        <f t="shared" si="1"/>
        <v>20.209999999999923</v>
      </c>
      <c r="E29">
        <f t="shared" si="2"/>
        <v>2.2008970715616831</v>
      </c>
    </row>
    <row r="30" spans="1:5" x14ac:dyDescent="0.3">
      <c r="A30">
        <v>585.95000000000005</v>
      </c>
      <c r="B30">
        <v>28</v>
      </c>
      <c r="C30">
        <f t="shared" si="0"/>
        <v>3.3322045101752038</v>
      </c>
      <c r="D30">
        <f t="shared" si="1"/>
        <v>20.270000000000095</v>
      </c>
      <c r="E30">
        <f t="shared" si="2"/>
        <v>2.0705432287070193</v>
      </c>
    </row>
    <row r="31" spans="1:5" x14ac:dyDescent="0.3">
      <c r="A31">
        <v>605.99</v>
      </c>
      <c r="B31">
        <v>23</v>
      </c>
      <c r="C31">
        <f t="shared" si="0"/>
        <v>3.1354942159291497</v>
      </c>
      <c r="D31">
        <f t="shared" si="1"/>
        <v>20.039999999999964</v>
      </c>
      <c r="E31">
        <f t="shared" si="2"/>
        <v>1.9416684871772985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C5D3-08B9-4241-BD15-C3BCE28920FC}">
  <dimension ref="A1:C9"/>
  <sheetViews>
    <sheetView workbookViewId="0">
      <selection activeCell="F18" sqref="F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120.18</v>
      </c>
      <c r="B2">
        <v>889</v>
      </c>
      <c r="C2">
        <f>A2</f>
        <v>120.18</v>
      </c>
    </row>
    <row r="3" spans="1:3" x14ac:dyDescent="0.3">
      <c r="A3">
        <v>240.3</v>
      </c>
      <c r="B3">
        <v>436</v>
      </c>
      <c r="C3">
        <f>A3-A2</f>
        <v>120.12</v>
      </c>
    </row>
    <row r="4" spans="1:3" x14ac:dyDescent="0.3">
      <c r="A4">
        <v>360.48</v>
      </c>
      <c r="B4">
        <v>235</v>
      </c>
      <c r="C4">
        <f t="shared" ref="C4:C9" si="0">A4-A3</f>
        <v>120.18</v>
      </c>
    </row>
    <row r="5" spans="1:3" x14ac:dyDescent="0.3">
      <c r="A5">
        <v>480.65</v>
      </c>
      <c r="B5">
        <v>125</v>
      </c>
      <c r="C5">
        <f t="shared" si="0"/>
        <v>120.16999999999996</v>
      </c>
    </row>
    <row r="6" spans="1:3" x14ac:dyDescent="0.3">
      <c r="A6">
        <v>600.66999999999996</v>
      </c>
      <c r="B6">
        <v>128</v>
      </c>
      <c r="C6">
        <f t="shared" si="0"/>
        <v>120.01999999999998</v>
      </c>
    </row>
    <row r="7" spans="1:3" x14ac:dyDescent="0.3">
      <c r="A7">
        <v>720.9</v>
      </c>
      <c r="B7">
        <v>107</v>
      </c>
      <c r="C7">
        <f t="shared" si="0"/>
        <v>120.23000000000002</v>
      </c>
    </row>
    <row r="8" spans="1:3" x14ac:dyDescent="0.3">
      <c r="A8">
        <v>840.96</v>
      </c>
      <c r="B8">
        <v>110</v>
      </c>
      <c r="C8">
        <f t="shared" si="0"/>
        <v>120.06000000000006</v>
      </c>
    </row>
    <row r="9" spans="1:3" x14ac:dyDescent="0.3">
      <c r="A9">
        <v>961.25</v>
      </c>
      <c r="B9">
        <v>113</v>
      </c>
      <c r="C9">
        <f t="shared" si="0"/>
        <v>120.28999999999996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</vt:lpstr>
      <vt:lpstr>Sheet1</vt:lpstr>
      <vt:lpstr>120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Pedro Tavares</cp:lastModifiedBy>
  <dcterms:created xsi:type="dcterms:W3CDTF">2015-06-05T18:17:20Z</dcterms:created>
  <dcterms:modified xsi:type="dcterms:W3CDTF">2021-11-06T12:24:51Z</dcterms:modified>
</cp:coreProperties>
</file>